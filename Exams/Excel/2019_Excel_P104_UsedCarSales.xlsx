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BB99C570-33F6-41EE-9271-73F5F133F437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Demographics" sheetId="38" r:id="rId1"/>
    <sheet name="Used Car Sales" sheetId="40" r:id="rId2"/>
    <sheet name="New Car Sales" sheetId="41" r:id="rId3"/>
    <sheet name="Informatics Exam" sheetId="45" r:id="rId4"/>
    <sheet name="Exams" sheetId="43" r:id="rId5"/>
    <sheet name="Report" sheetId="44" r:id="rId6"/>
  </sheets>
  <definedNames>
    <definedName name="_xlnm._FilterDatabase" localSheetId="0" hidden="1">Demographics!$B$2:$C$7</definedName>
    <definedName name="Convertible" localSheetId="2">'New Car Sales'!$A$17:$J$18</definedName>
    <definedName name="Convertible" localSheetId="1">'Used Car Sales'!$A$17:$J$18</definedName>
    <definedName name="Convertible">#REF!</definedName>
    <definedName name="Discount2008">#REF!</definedName>
    <definedName name="Discount2009">#REF!</definedName>
    <definedName name="SUPPLIER_NAME" localSheetId="0">Demographics!$C$2:$C$7</definedName>
    <definedName name="SUPPLIER_NAME" localSheetId="4">#REF!</definedName>
    <definedName name="SUPPLIER_NAME" localSheetId="2">#REF!</definedName>
    <definedName name="SUPPLIER_NAME" localSheetId="5">#REF!</definedName>
    <definedName name="SUPPLIER_NAME" localSheetId="1">#REF!</definedName>
    <definedName name="SUPPLIER_NAME">#REF!</definedName>
    <definedName name="SupplierOrder">#REF!</definedName>
    <definedName name="Year_201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3" l="1"/>
  <c r="D16" i="43"/>
  <c r="C16" i="43"/>
  <c r="B16" i="43"/>
  <c r="E6" i="43"/>
  <c r="D6" i="43"/>
  <c r="C6" i="43"/>
  <c r="B6" i="43"/>
  <c r="I5" i="41"/>
  <c r="I5" i="40"/>
</calcChain>
</file>

<file path=xl/sharedStrings.xml><?xml version="1.0" encoding="utf-8"?>
<sst xmlns="http://schemas.openxmlformats.org/spreadsheetml/2006/main" count="352" uniqueCount="102">
  <si>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</si>
  <si>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</si>
  <si>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</si>
  <si>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</si>
  <si>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</si>
  <si>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</si>
  <si>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</si>
  <si>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</si>
  <si>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</si>
  <si>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</si>
  <si>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</si>
  <si>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Total</t>
  </si>
  <si>
    <t>Exam</t>
  </si>
  <si>
    <t>IC3</t>
  </si>
  <si>
    <t>IELTS</t>
  </si>
  <si>
    <t>MOS</t>
  </si>
  <si>
    <t>TOEIC</t>
  </si>
  <si>
    <t>Outdoor</t>
  </si>
  <si>
    <t>Mat</t>
  </si>
  <si>
    <t>Soft Toys</t>
  </si>
  <si>
    <t>Wooden Toys</t>
  </si>
  <si>
    <t>Pushchair Toys</t>
  </si>
  <si>
    <t>Category</t>
  </si>
  <si>
    <t>Top 5 Toys Category of the Year</t>
  </si>
  <si>
    <t>Make</t>
  </si>
  <si>
    <t>Model</t>
  </si>
  <si>
    <t>Body</t>
  </si>
  <si>
    <t>Year</t>
  </si>
  <si>
    <t>Color</t>
  </si>
  <si>
    <t>Mileage</t>
  </si>
  <si>
    <t>Price</t>
  </si>
  <si>
    <t>Quantity Instock</t>
  </si>
  <si>
    <t>Inspected</t>
  </si>
  <si>
    <t>Mitsubishi</t>
  </si>
  <si>
    <t>3000 GT</t>
  </si>
  <si>
    <t>Sport</t>
  </si>
  <si>
    <t>White</t>
  </si>
  <si>
    <t>Yes</t>
  </si>
  <si>
    <t>Honda</t>
  </si>
  <si>
    <t>Civic</t>
  </si>
  <si>
    <t>4-door</t>
  </si>
  <si>
    <t>Red</t>
  </si>
  <si>
    <t>No</t>
  </si>
  <si>
    <t>Ford</t>
  </si>
  <si>
    <t>Ranger</t>
  </si>
  <si>
    <t>Truck</t>
  </si>
  <si>
    <t>Blue</t>
  </si>
  <si>
    <t>Dodge</t>
  </si>
  <si>
    <t>Intrepid</t>
  </si>
  <si>
    <t>Coupe</t>
  </si>
  <si>
    <t>Silver</t>
  </si>
  <si>
    <t>Caddilac</t>
  </si>
  <si>
    <t>Seville</t>
  </si>
  <si>
    <t>Black</t>
  </si>
  <si>
    <t>Mustang</t>
  </si>
  <si>
    <t>Chevrolet</t>
  </si>
  <si>
    <t>Camaro</t>
  </si>
  <si>
    <t>Silverado</t>
  </si>
  <si>
    <t>Bl</t>
  </si>
  <si>
    <t>Toyota</t>
  </si>
  <si>
    <t>Tacoma</t>
  </si>
  <si>
    <t>Tauus</t>
  </si>
  <si>
    <t>Sedan</t>
  </si>
  <si>
    <t>Gold</t>
  </si>
  <si>
    <t>Mazda</t>
  </si>
  <si>
    <t>Miata</t>
  </si>
  <si>
    <t>Mercedes</t>
  </si>
  <si>
    <t>500SL</t>
  </si>
  <si>
    <t>Convertible</t>
  </si>
  <si>
    <t>Jeep</t>
  </si>
  <si>
    <t>Wrangler</t>
  </si>
  <si>
    <t>Impala</t>
  </si>
  <si>
    <t>Maroon</t>
  </si>
  <si>
    <t>Focus</t>
  </si>
  <si>
    <t>RX-7</t>
  </si>
  <si>
    <t>Harley Davidson</t>
  </si>
  <si>
    <t>Sportster</t>
  </si>
  <si>
    <t>Motocycle</t>
  </si>
  <si>
    <t>The list of the used car for sales</t>
  </si>
  <si>
    <t>Annual Report</t>
  </si>
  <si>
    <t>Month</t>
  </si>
  <si>
    <t>Customer</t>
  </si>
  <si>
    <t>Firstname</t>
  </si>
  <si>
    <t>LastName</t>
  </si>
  <si>
    <t>Description</t>
  </si>
  <si>
    <t>Quantity</t>
  </si>
  <si>
    <t>Leah</t>
  </si>
  <si>
    <t>Akkers</t>
  </si>
  <si>
    <t>Gareth</t>
  </si>
  <si>
    <t>Tang</t>
  </si>
  <si>
    <t>Holly</t>
  </si>
  <si>
    <t>Dickson</t>
  </si>
  <si>
    <t>TOEFL</t>
  </si>
  <si>
    <t>Informatics Exam</t>
  </si>
  <si>
    <t>Foreign Language</t>
  </si>
  <si>
    <t>Foreign Exam</t>
  </si>
  <si>
    <t>ICDL</t>
  </si>
  <si>
    <t>Qtr1</t>
  </si>
  <si>
    <t>Qtr2</t>
  </si>
  <si>
    <t>Qtr3</t>
  </si>
  <si>
    <t>Qtr4</t>
  </si>
  <si>
    <t>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</si>
</sst>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C000"/>
      </right>
      <top style="thin">
        <color theme="4"/>
      </top>
      <bottom/>
      <diagonal/>
    </border>
    <border>
      <left/>
      <right style="thin">
        <color rgb="FFFFC000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6" applyNumberFormat="0" applyFill="0" applyAlignment="0" applyProtection="0"/>
    <xf numFmtId="0" fontId="4" fillId="0" borderId="7" applyNumberFormat="0" applyFill="0" applyAlignment="0" applyProtection="0"/>
  </cellStyleXfs>
  <cellXfs count="23">
    <xf numFmtId="0" fontId="0" fillId="0" borderId="0" xfId="0"/>
    <xf numFmtId="0" fontId="2" fillId="0" borderId="2" xfId="0" applyFont="1" applyBorder="1"/>
    <xf numFmtId="0" fontId="3" fillId="2" borderId="3" xfId="0" applyFont="1" applyFill="1" applyBorder="1"/>
    <xf numFmtId="0" fontId="3" fillId="2" borderId="0" xfId="0" applyFont="1" applyFill="1"/>
    <xf numFmtId="44" fontId="2" fillId="0" borderId="4" xfId="0" applyNumberFormat="1" applyFont="1" applyBorder="1"/>
    <xf numFmtId="44" fontId="2" fillId="0" borderId="5" xfId="0" applyNumberFormat="1" applyFont="1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0" borderId="9" xfId="0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1" xfId="0" applyFont="1" applyFill="1" applyBorder="1"/>
    <xf numFmtId="0" fontId="0" fillId="0" borderId="11" xfId="0" applyBorder="1"/>
    <xf numFmtId="0" fontId="2" fillId="0" borderId="11" xfId="0" applyFont="1" applyBorder="1"/>
    <xf numFmtId="165" fontId="0" fillId="0" borderId="11" xfId="0" applyNumberFormat="1" applyBorder="1"/>
    <xf numFmtId="0" fontId="2" fillId="0" borderId="12" xfId="0" applyFont="1" applyBorder="1"/>
    <xf numFmtId="0" fontId="2" fillId="0" borderId="13" xfId="0" applyFont="1" applyBorder="1"/>
    <xf numFmtId="14" fontId="0" fillId="0" borderId="0" xfId="0" applyNumberFormat="1" applyAlignment="1">
      <alignment horizontal="left"/>
    </xf>
    <xf numFmtId="0" fontId="0" fillId="0" borderId="0" xfId="0"/>
    <xf numFmtId="0" fontId="1" fillId="0" borderId="6" xfId="2" applyAlignment="1">
      <alignment horizontal="left"/>
    </xf>
    <xf numFmtId="164" fontId="5" fillId="0" borderId="8" xfId="0" applyNumberFormat="1" applyFont="1" applyBorder="1" applyAlignment="1">
      <alignment horizontal="left" readingOrder="1"/>
    </xf>
    <xf numFmtId="0" fontId="4" fillId="0" borderId="0" xfId="3" applyBorder="1"/>
    <xf numFmtId="0" fontId="0" fillId="0" borderId="0" xfId="0" applyAlignment="1">
      <alignment horizontal="center"/>
    </xf>
  </cellXfs>
  <cellStyles count="4">
    <cellStyle name="Heading 1" xfId="2" builtinId="16"/>
    <cellStyle name="Heading 1 2" xfId="1" xr:uid="{00000000-0005-0000-0000-000003000000}"/>
    <cellStyle name="Heading 2" xfId="3" builtinId="17"/>
    <cellStyle name="Normal" xfId="0" builtinId="0"/>
  </cellStyles>
  <dxfs count="2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border diagonalUp="0" diagonalDown="0" outline="0"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/>
        <right style="thin">
          <color rgb="FFFFC000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rgb="FFFFC000"/>
        </right>
        <top style="thin">
          <color theme="4"/>
        </top>
        <bottom/>
      </border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Toys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Demographics!$B$2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Demographics!$A$3:$A$7</c:f>
              <c:numCache>
                <c:formatCode>General</c:formatCode>
                <c:ptCount val="5"/>
              </c:numCache>
            </c:numRef>
          </c:cat>
          <c:val>
            <c:numRef>
              <c:f>Demographics!$B$3:$B$7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3-42F0-AD39-34E05C74ABB4}"/>
            </c:ext>
          </c:extLst>
        </c:ser>
        <c:ser>
          <c:idx val="1"/>
          <c:order val="1"/>
          <c:tx>
            <c:strRef>
              <c:f>Demographics!$C$2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Demographics!$A$3:$A$7</c:f>
              <c:numCache>
                <c:formatCode>General</c:formatCode>
                <c:ptCount val="5"/>
              </c:numCache>
            </c:numRef>
          </c:cat>
          <c:val>
            <c:numRef>
              <c:f>Demographics!$C$3:$C$7</c:f>
              <c:numCache>
                <c:formatCode>_("$"* #,##0.00_);_("$"* \(#,##0.00\);_("$"* "-"??_);_(@_)</c:formatCode>
                <c:ptCount val="5"/>
                <c:pt idx="0">
                  <c:v>520605</c:v>
                </c:pt>
                <c:pt idx="1">
                  <c:v>485680.72000000003</c:v>
                </c:pt>
                <c:pt idx="2">
                  <c:v>368686.5</c:v>
                </c:pt>
                <c:pt idx="3">
                  <c:v>217397.37999999998</c:v>
                </c:pt>
                <c:pt idx="4">
                  <c:v>170443.5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0F-4158-ABAE-082B57BB6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43527311"/>
        <c:axId val="2082284351"/>
      </c:barChart>
      <c:catAx>
        <c:axId val="24352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284351"/>
        <c:crosses val="autoZero"/>
        <c:auto val="1"/>
        <c:lblAlgn val="ctr"/>
        <c:lblOffset val="100"/>
        <c:noMultiLvlLbl val="0"/>
      </c:catAx>
      <c:valAx>
        <c:axId val="208228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2731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Informatics Exam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Exams!$B$2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Exams!$A$3:$A$5</c:f>
              <c:strCache>
                <c:ptCount val="3"/>
                <c:pt idx="0">
                  <c:v>MOS</c:v>
                </c:pt>
                <c:pt idx="1">
                  <c:v>IC3</c:v>
                </c:pt>
                <c:pt idx="2">
                  <c:v>ICDL</c:v>
                </c:pt>
              </c:strCache>
            </c:strRef>
          </c:cat>
          <c:val>
            <c:numRef>
              <c:f>Exams!$B$3:$B$5</c:f>
              <c:numCache>
                <c:formatCode>_("$"* #,##0.00_);_("$"* \(#,##0.00\);_("$"* "-"??_);_(@_)</c:formatCode>
                <c:ptCount val="3"/>
                <c:pt idx="0">
                  <c:v>704000</c:v>
                </c:pt>
                <c:pt idx="1">
                  <c:v>992000</c:v>
                </c:pt>
                <c:pt idx="2">
                  <c:v>259000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F-402C-AE66-BEF991B79938}"/>
            </c:ext>
          </c:extLst>
        </c:ser>
        <c:ser>
          <c:idx val="1"/>
          <c:order val="1"/>
          <c:tx>
            <c:strRef>
              <c:f>Exams!$C$2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Exams!$A$3:$A$5</c:f>
              <c:strCache>
                <c:ptCount val="3"/>
                <c:pt idx="0">
                  <c:v>MOS</c:v>
                </c:pt>
                <c:pt idx="1">
                  <c:v>IC3</c:v>
                </c:pt>
                <c:pt idx="2">
                  <c:v>ICDL</c:v>
                </c:pt>
              </c:strCache>
            </c:strRef>
          </c:cat>
          <c:val>
            <c:numRef>
              <c:f>Exams!$C$3:$C$5</c:f>
              <c:numCache>
                <c:formatCode>_("$"* #,##0.00_);_("$"* \(#,##0.00\);_("$"* "-"??_);_(@_)</c:formatCode>
                <c:ptCount val="3"/>
                <c:pt idx="0">
                  <c:v>366000</c:v>
                </c:pt>
                <c:pt idx="1">
                  <c:v>299000</c:v>
                </c:pt>
                <c:pt idx="2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F-402C-AE66-BEF991B79938}"/>
            </c:ext>
          </c:extLst>
        </c:ser>
        <c:ser>
          <c:idx val="2"/>
          <c:order val="2"/>
          <c:tx>
            <c:strRef>
              <c:f>Exams!$D$2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Exams!$A$3:$A$5</c:f>
              <c:strCache>
                <c:ptCount val="3"/>
                <c:pt idx="0">
                  <c:v>MOS</c:v>
                </c:pt>
                <c:pt idx="1">
                  <c:v>IC3</c:v>
                </c:pt>
                <c:pt idx="2">
                  <c:v>ICDL</c:v>
                </c:pt>
              </c:strCache>
            </c:strRef>
          </c:cat>
          <c:val>
            <c:numRef>
              <c:f>Exams!$D$3:$D$5</c:f>
              <c:numCache>
                <c:formatCode>_("$"* #,##0.00_);_("$"* \(#,##0.00\);_("$"* "-"??_);_(@_)</c:formatCode>
                <c:ptCount val="3"/>
                <c:pt idx="0">
                  <c:v>1027000</c:v>
                </c:pt>
                <c:pt idx="1">
                  <c:v>427000</c:v>
                </c:pt>
                <c:pt idx="2">
                  <c:v>796000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0F-402C-AE66-BEF991B79938}"/>
            </c:ext>
          </c:extLst>
        </c:ser>
        <c:ser>
          <c:idx val="3"/>
          <c:order val="3"/>
          <c:tx>
            <c:strRef>
              <c:f>Exams!$E$2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Exams!$A$3:$A$5</c:f>
              <c:strCache>
                <c:ptCount val="3"/>
                <c:pt idx="0">
                  <c:v>MOS</c:v>
                </c:pt>
                <c:pt idx="1">
                  <c:v>IC3</c:v>
                </c:pt>
                <c:pt idx="2">
                  <c:v>ICDL</c:v>
                </c:pt>
              </c:strCache>
            </c:strRef>
          </c:cat>
          <c:val>
            <c:numRef>
              <c:f>Exams!$E$3:$E$5</c:f>
              <c:numCache>
                <c:formatCode>_("$"* #,##0.00_);_("$"* \(#,##0.00\);_("$"* "-"??_);_(@_)</c:formatCode>
                <c:ptCount val="3"/>
                <c:pt idx="0">
                  <c:v>752000</c:v>
                </c:pt>
                <c:pt idx="1">
                  <c:v>334000</c:v>
                </c:pt>
                <c:pt idx="2">
                  <c:v>1046000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0F-402C-AE66-BEF991B79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5319680"/>
        <c:axId val="61103024"/>
        <c:axId val="0"/>
      </c:bar3DChart>
      <c:catAx>
        <c:axId val="16953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3024"/>
        <c:crosses val="autoZero"/>
        <c:auto val="1"/>
        <c:lblAlgn val="ctr"/>
        <c:lblOffset val="100"/>
        <c:noMultiLvlLbl val="0"/>
      </c:catAx>
      <c:valAx>
        <c:axId val="611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4A952F-A473-4078-BBE3-1359802E2942}">
  <sheetPr/>
  <sheetViews>
    <sheetView zoomScale="61" workbookViewId="0" zoomToFit="1"/>
  </sheetViews>
  <pageMargins left="0.7" right="0.7" top="0.75" bottom="0.7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175266</xdr:rowOff>
    </xdr:from>
    <xdr:to>
      <xdr:col>4</xdr:col>
      <xdr:colOff>7620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A66A8-1646-496E-B409-64C939673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3325AA-0523-8821-C18B-6DFF7BC614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429782</xdr:colOff>
      <xdr:row>5</xdr:row>
      <xdr:rowOff>25262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EB482-0B8C-4B3B-BE59-F9151B340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"/>
          <a:ext cx="1191782" cy="756782"/>
        </a:xfrm>
        <a:prstGeom prst="rect">
          <a:avLst/>
        </a:prstGeom>
      </xdr:spPr>
    </xdr:pic>
    <xdr:clientData/>
  </xdr:twoCellAnchor>
  <xdr:twoCellAnchor editAs="oneCell">
    <xdr:from>
      <xdr:col>1</xdr:col>
      <xdr:colOff>556260</xdr:colOff>
      <xdr:row>0</xdr:row>
      <xdr:rowOff>144781</xdr:rowOff>
    </xdr:from>
    <xdr:to>
      <xdr:col>3</xdr:col>
      <xdr:colOff>266700</xdr:colOff>
      <xdr:row>5</xdr:row>
      <xdr:rowOff>71858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C1B390-F7F4-4566-83FB-F423C6D11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" t="4141" r="3407" b="7139"/>
        <a:stretch/>
      </xdr:blipFill>
      <xdr:spPr>
        <a:xfrm>
          <a:off x="1318260" y="144781"/>
          <a:ext cx="1744980" cy="841477"/>
        </a:xfrm>
        <a:prstGeom prst="roundRect">
          <a:avLst/>
        </a:prstGeom>
      </xdr:spPr>
    </xdr:pic>
    <xdr:clientData/>
  </xdr:twoCellAnchor>
  <xdr:twoCellAnchor editAs="oneCell">
    <xdr:from>
      <xdr:col>3</xdr:col>
      <xdr:colOff>251461</xdr:colOff>
      <xdr:row>0</xdr:row>
      <xdr:rowOff>38100</xdr:rowOff>
    </xdr:from>
    <xdr:to>
      <xdr:col>5</xdr:col>
      <xdr:colOff>30480</xdr:colOff>
      <xdr:row>5</xdr:row>
      <xdr:rowOff>55212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ABE3A5-E735-4F4C-ADDD-B87A8A43C5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21" b="22988"/>
        <a:stretch/>
      </xdr:blipFill>
      <xdr:spPr>
        <a:xfrm>
          <a:off x="3048001" y="38100"/>
          <a:ext cx="1958339" cy="93151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</xdr:row>
      <xdr:rowOff>30480</xdr:rowOff>
    </xdr:from>
    <xdr:to>
      <xdr:col>7</xdr:col>
      <xdr:colOff>419100</xdr:colOff>
      <xdr:row>4</xdr:row>
      <xdr:rowOff>159207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17BA41-339F-4936-8599-A14501552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0160" y="213360"/>
          <a:ext cx="1798320" cy="6773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F48825-7583-4F8F-A505-A49F3D2D039B}" name="TopToyCategory" displayName="TopToyCategory" ref="A2:C7" totalsRowShown="0" headerRowDxfId="23" tableBorderDxfId="22">
  <autoFilter ref="A2:C7" xr:uid="{F937190A-5209-4C09-B058-B63574790567}"/>
  <tableColumns count="3">
    <tableColumn id="3" xr3:uid="{7066715F-8810-4431-9975-1F5C5E7799EA}" name="TCC" dataDxfId="21"/>
    <tableColumn id="1" xr3:uid="{59B45E9C-EDF6-483B-A641-994E8C0854CF}" name="Category" dataDxfId="20"/>
    <tableColumn id="2" xr3:uid="{E0DBB4A1-B7F6-47D3-97EB-2853D520E8B0}" name="Total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5A714-DC3A-45F0-94F6-3757B4B09DEE}" name="Table6" displayName="Table6" ref="A4:J30" totalsRowShown="0">
  <autoFilter ref="A4:J30" xr:uid="{5024BB86-FE58-4999-9656-F12F6B4F9E67}"/>
  <tableColumns count="10">
    <tableColumn id="1" xr3:uid="{B8C4720C-2191-45C2-A3A4-840C0DDFD9BE}" name="Make"/>
    <tableColumn id="2" xr3:uid="{679D1C26-3F3A-4D7B-8088-F38E8717EBF3}" name="Model"/>
    <tableColumn id="3" xr3:uid="{BF5096EC-4BB5-4961-9A2A-CD9D1C964F14}" name="Body"/>
    <tableColumn id="4" xr3:uid="{CB7D6CE6-D37F-4DC0-A605-E281B61D6C98}" name="Year"/>
    <tableColumn id="5" xr3:uid="{4B618B34-9E07-46DD-AF84-F3AD221A656E}" name="Color"/>
    <tableColumn id="6" xr3:uid="{503C6D53-36BF-4F9B-8CD4-3ED97CF03CDD}" name="Mileage"/>
    <tableColumn id="7" xr3:uid="{DE0240E4-40B2-4FD5-B815-40D6774F64F9}" name="Price" dataDxfId="18"/>
    <tableColumn id="8" xr3:uid="{CFEC95A0-3575-463D-A03B-45373A8E103E}" name="Quantity Instock" dataDxfId="17"/>
    <tableColumn id="9" xr3:uid="{66B97998-3C5E-41BD-89BE-E191A530F93A}" name="Total" dataDxfId="16"/>
    <tableColumn id="10" xr3:uid="{C378F867-B310-4F05-95A5-842B160DFEE1}" name="Inspec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B21D3-5FD6-4A31-86FD-D5725151A87B}" name="Table63" displayName="Table63" ref="A4:J30" totalsRowShown="0">
  <autoFilter ref="A4:J30" xr:uid="{5024BB86-FE58-4999-9656-F12F6B4F9E67}"/>
  <tableColumns count="10">
    <tableColumn id="1" xr3:uid="{78AC67A6-1A99-4166-81B2-0BE22584EA9A}" name="Make"/>
    <tableColumn id="2" xr3:uid="{DC934BEE-7424-4F7B-8415-25AE9E334629}" name="Model"/>
    <tableColumn id="3" xr3:uid="{7E465E27-A147-439E-83FD-0BF3D16AB25F}" name="Body"/>
    <tableColumn id="4" xr3:uid="{FEA5CBDE-8B78-4144-8474-D0FCE8DB6296}" name="Year"/>
    <tableColumn id="5" xr3:uid="{459B575D-B9D8-4A30-A392-63283611851D}" name="Color"/>
    <tableColumn id="6" xr3:uid="{3B820B40-0B9E-4CD4-AC5E-A04BAC3D3F79}" name="Mileage"/>
    <tableColumn id="7" xr3:uid="{7194FC40-3150-4707-8003-1D46CF36874E}" name="Price" dataDxfId="26"/>
    <tableColumn id="8" xr3:uid="{FF601541-467C-4B07-B270-131C5E62DC04}" name="Quantity Instock" dataDxfId="25"/>
    <tableColumn id="9" xr3:uid="{77ACD3B9-8D13-498D-9AB5-1C441BEDBF6D}" name="Total" dataDxfId="24"/>
    <tableColumn id="10" xr3:uid="{5F1B85BA-B6C2-4D9E-B7E2-B7527406A125}" name="Inspec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095ECA-5E51-4726-9FB7-BA547AF604E8}" name="Table4" displayName="Table4" ref="A2:E6" totalsRowCount="1">
  <autoFilter ref="A2:E5" xr:uid="{16FF73ED-0A20-4346-85EE-7E0225E2D328}"/>
  <tableColumns count="5">
    <tableColumn id="2" xr3:uid="{2A07757F-9783-45EC-9261-B8DAD861DE0B}" name="Exam" totalsRowLabel="Total"/>
    <tableColumn id="3" xr3:uid="{5C87360D-107E-444E-A7A4-0EB29B1563F9}" name="Qtr1" totalsRowFunction="sum" dataDxfId="15" totalsRowDxfId="14"/>
    <tableColumn id="4" xr3:uid="{23D5EAA8-1302-489C-ADE1-73126E44AFD7}" name="Qtr2" totalsRowFunction="sum" dataDxfId="13" totalsRowDxfId="12"/>
    <tableColumn id="5" xr3:uid="{A373ED2E-9BA3-41A7-A95C-E46A6129D78B}" name="Qtr3" totalsRowFunction="sum" dataDxfId="11" totalsRowDxfId="10"/>
    <tableColumn id="6" xr3:uid="{F2298AEE-D088-4AC6-8D24-A188E305A2C4}" name="Qtr4" totalsRowFunction="sum" dataDxfId="9" totalsRow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B494E5-98C0-4534-B799-1F0B7088D322}" name="Table46" displayName="Table46" ref="A12:E16" totalsRowCount="1">
  <autoFilter ref="A12:E15" xr:uid="{58B494E5-98C0-4534-B799-1F0B7088D322}"/>
  <tableColumns count="5">
    <tableColumn id="2" xr3:uid="{C3362B6C-7930-4D7D-AAE0-2E8BB54BDC77}" name="Foreign Exam" totalsRowLabel="Total"/>
    <tableColumn id="3" xr3:uid="{DE19900D-C9B0-4601-BE42-26CF917521A6}" name="Qtr1" totalsRowFunction="sum" dataDxfId="7" totalsRowDxfId="6"/>
    <tableColumn id="4" xr3:uid="{A9D09F55-D2F7-46F4-AF12-6F1F4F14E50B}" name="Qtr2" totalsRowFunction="sum" dataDxfId="5" totalsRowDxfId="4"/>
    <tableColumn id="5" xr3:uid="{2EC81A52-0148-43D1-8C85-78912CBADCF6}" name="Qtr3" totalsRowFunction="sum" dataDxfId="3" totalsRowDxfId="2"/>
    <tableColumn id="6" xr3:uid="{6124ADC7-2C35-4B36-A257-135E7F43AA1C}" name="Qtr4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F1F-90A3-4F10-BDDE-3928A81DD2CD}">
  <dimension ref="A1:C7"/>
  <sheetViews>
    <sheetView zoomScaleNormal="100" workbookViewId="0">
      <selection activeCell="A3" sqref="A3"/>
    </sheetView>
  </sheetViews>
  <sheetFormatPr defaultRowHeight="14.5" x14ac:dyDescent="0.35"/>
  <cols>
    <col min="1" max="1" width="15.6328125" customWidth="1"/>
    <col min="2" max="2" width="22" customWidth="1"/>
    <col min="3" max="3" width="12" bestFit="1" customWidth="1"/>
    <col min="4" max="4" width="23.1796875" customWidth="1"/>
  </cols>
  <sheetData>
    <row r="1" spans="1:3" x14ac:dyDescent="0.35">
      <c r="A1" t="s">
        <v>23</v>
      </c>
    </row>
    <row r="2" spans="1:3" x14ac:dyDescent="0.35">
      <c r="A2" s="2" t="s">
        <v>101</v>
      </c>
      <c r="B2" s="2" t="s">
        <v>22</v>
      </c>
      <c r="C2" s="3" t="s">
        <v>11</v>
      </c>
    </row>
    <row r="3" spans="1:3" x14ac:dyDescent="0.35">
      <c r="A3" s="16"/>
      <c r="B3" s="1" t="s">
        <v>18</v>
      </c>
      <c r="C3" s="4">
        <v>520605</v>
      </c>
    </row>
    <row r="4" spans="1:3" x14ac:dyDescent="0.35">
      <c r="A4" s="15"/>
      <c r="B4" s="1" t="s">
        <v>20</v>
      </c>
      <c r="C4" s="4">
        <v>485680.72000000003</v>
      </c>
    </row>
    <row r="5" spans="1:3" x14ac:dyDescent="0.35">
      <c r="A5" s="15"/>
      <c r="B5" s="1" t="s">
        <v>17</v>
      </c>
      <c r="C5" s="5">
        <v>368686.5</v>
      </c>
    </row>
    <row r="6" spans="1:3" x14ac:dyDescent="0.35">
      <c r="A6" s="15"/>
      <c r="B6" s="1" t="s">
        <v>19</v>
      </c>
      <c r="C6" s="4">
        <v>217397.37999999998</v>
      </c>
    </row>
    <row r="7" spans="1:3" x14ac:dyDescent="0.35">
      <c r="A7" s="15"/>
      <c r="B7" s="1" t="s">
        <v>21</v>
      </c>
      <c r="C7" s="4">
        <v>170443.5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913-89A1-43F3-BA27-63F81C1B8747}">
  <dimension ref="A1:J30"/>
  <sheetViews>
    <sheetView zoomScale="115" zoomScaleNormal="115" workbookViewId="0">
      <selection sqref="A1:J2"/>
    </sheetView>
  </sheetViews>
  <sheetFormatPr defaultRowHeight="14.5" x14ac:dyDescent="0.35"/>
  <cols>
    <col min="1" max="1" width="9.453125" customWidth="1"/>
    <col min="2" max="2" width="9.54296875" customWidth="1"/>
    <col min="3" max="3" width="10.36328125" customWidth="1"/>
    <col min="4" max="4" width="6.36328125" customWidth="1"/>
    <col min="5" max="5" width="6.90625" customWidth="1"/>
    <col min="6" max="6" width="12.36328125" customWidth="1"/>
    <col min="7" max="7" width="12" customWidth="1"/>
    <col min="8" max="8" width="16.1796875" customWidth="1"/>
    <col min="9" max="9" width="14.54296875" customWidth="1"/>
    <col min="10" max="10" width="10.81640625" customWidth="1"/>
  </cols>
  <sheetData>
    <row r="1" spans="1:10" ht="20" thickBot="1" x14ac:dyDescent="0.5">
      <c r="A1" s="19" t="s">
        <v>78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" thickTop="1" x14ac:dyDescent="0.35">
      <c r="A2" s="20">
        <v>45008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11</v>
      </c>
      <c r="J4" t="s">
        <v>32</v>
      </c>
    </row>
    <row r="5" spans="1:10" x14ac:dyDescent="0.35">
      <c r="A5" t="s">
        <v>33</v>
      </c>
      <c r="B5" t="s">
        <v>34</v>
      </c>
      <c r="C5" t="s">
        <v>35</v>
      </c>
      <c r="D5">
        <v>1995</v>
      </c>
      <c r="E5" t="s">
        <v>36</v>
      </c>
      <c r="F5">
        <v>19800</v>
      </c>
      <c r="G5" s="7">
        <v>4000</v>
      </c>
      <c r="H5">
        <v>9</v>
      </c>
      <c r="I5" s="7">
        <f>G5*H5</f>
        <v>36000</v>
      </c>
      <c r="J5" t="s">
        <v>37</v>
      </c>
    </row>
    <row r="6" spans="1:10" x14ac:dyDescent="0.35">
      <c r="A6" t="s">
        <v>38</v>
      </c>
      <c r="B6" t="s">
        <v>39</v>
      </c>
      <c r="C6" t="s">
        <v>40</v>
      </c>
      <c r="D6">
        <v>2000</v>
      </c>
      <c r="E6" t="s">
        <v>41</v>
      </c>
      <c r="F6">
        <v>150000</v>
      </c>
      <c r="G6" s="7">
        <v>3000</v>
      </c>
      <c r="H6">
        <v>4</v>
      </c>
      <c r="I6" s="7"/>
      <c r="J6" t="s">
        <v>42</v>
      </c>
    </row>
    <row r="7" spans="1:10" x14ac:dyDescent="0.35">
      <c r="A7" t="s">
        <v>43</v>
      </c>
      <c r="B7" t="s">
        <v>44</v>
      </c>
      <c r="C7" t="s">
        <v>45</v>
      </c>
      <c r="D7">
        <v>1986</v>
      </c>
      <c r="E7" t="s">
        <v>46</v>
      </c>
      <c r="F7">
        <v>208000</v>
      </c>
      <c r="G7" s="7">
        <v>3200</v>
      </c>
      <c r="H7">
        <v>3</v>
      </c>
      <c r="I7" s="7"/>
      <c r="J7" t="s">
        <v>37</v>
      </c>
    </row>
    <row r="8" spans="1:10" x14ac:dyDescent="0.35">
      <c r="A8" t="s">
        <v>47</v>
      </c>
      <c r="B8" t="s">
        <v>48</v>
      </c>
      <c r="C8" t="s">
        <v>49</v>
      </c>
      <c r="D8">
        <v>2002</v>
      </c>
      <c r="E8" t="s">
        <v>50</v>
      </c>
      <c r="F8">
        <v>148000</v>
      </c>
      <c r="G8" s="7">
        <v>3000</v>
      </c>
      <c r="H8">
        <v>6</v>
      </c>
      <c r="I8" s="7"/>
      <c r="J8" t="s">
        <v>37</v>
      </c>
    </row>
    <row r="9" spans="1:10" x14ac:dyDescent="0.35">
      <c r="A9" t="s">
        <v>51</v>
      </c>
      <c r="B9" t="s">
        <v>52</v>
      </c>
      <c r="C9" t="s">
        <v>40</v>
      </c>
      <c r="D9">
        <v>2002</v>
      </c>
      <c r="E9" t="s">
        <v>36</v>
      </c>
      <c r="F9">
        <v>141000</v>
      </c>
      <c r="G9" s="7">
        <v>4100</v>
      </c>
      <c r="H9">
        <v>9</v>
      </c>
      <c r="I9" s="7"/>
      <c r="J9" t="s">
        <v>37</v>
      </c>
    </row>
    <row r="10" spans="1:10" x14ac:dyDescent="0.35">
      <c r="A10" t="s">
        <v>43</v>
      </c>
      <c r="B10" t="s">
        <v>44</v>
      </c>
      <c r="C10" t="s">
        <v>45</v>
      </c>
      <c r="D10">
        <v>1995</v>
      </c>
      <c r="E10" t="s">
        <v>53</v>
      </c>
      <c r="F10">
        <v>135000</v>
      </c>
      <c r="G10" s="7">
        <v>4700</v>
      </c>
      <c r="H10">
        <v>4</v>
      </c>
      <c r="I10" s="7"/>
      <c r="J10" t="s">
        <v>37</v>
      </c>
    </row>
    <row r="11" spans="1:10" x14ac:dyDescent="0.35">
      <c r="A11" t="s">
        <v>43</v>
      </c>
      <c r="B11" t="s">
        <v>54</v>
      </c>
      <c r="C11" t="s">
        <v>35</v>
      </c>
      <c r="D11">
        <v>1999</v>
      </c>
      <c r="E11" t="s">
        <v>41</v>
      </c>
      <c r="F11">
        <v>188000</v>
      </c>
      <c r="G11" s="7">
        <v>5500</v>
      </c>
      <c r="H11">
        <v>2</v>
      </c>
      <c r="I11" s="7"/>
      <c r="J11" t="s">
        <v>37</v>
      </c>
    </row>
    <row r="12" spans="1:10" x14ac:dyDescent="0.35">
      <c r="A12" t="s">
        <v>55</v>
      </c>
      <c r="B12" t="s">
        <v>56</v>
      </c>
      <c r="C12" t="s">
        <v>35</v>
      </c>
      <c r="D12">
        <v>2004</v>
      </c>
      <c r="E12" t="s">
        <v>36</v>
      </c>
      <c r="F12">
        <v>122000</v>
      </c>
      <c r="G12" s="7">
        <v>7000</v>
      </c>
      <c r="H12">
        <v>10</v>
      </c>
      <c r="I12" s="7"/>
      <c r="J12" t="s">
        <v>37</v>
      </c>
    </row>
    <row r="13" spans="1:10" x14ac:dyDescent="0.35">
      <c r="A13" t="s">
        <v>55</v>
      </c>
      <c r="B13" t="s">
        <v>57</v>
      </c>
      <c r="C13" t="s">
        <v>45</v>
      </c>
      <c r="D13">
        <v>2001</v>
      </c>
      <c r="E13" t="s">
        <v>58</v>
      </c>
      <c r="F13">
        <v>178000</v>
      </c>
      <c r="G13" s="7">
        <v>5200</v>
      </c>
      <c r="H13">
        <v>5</v>
      </c>
      <c r="I13" s="7"/>
      <c r="J13" t="s">
        <v>37</v>
      </c>
    </row>
    <row r="14" spans="1:10" x14ac:dyDescent="0.35">
      <c r="A14" t="s">
        <v>59</v>
      </c>
      <c r="B14" t="s">
        <v>60</v>
      </c>
      <c r="C14" t="s">
        <v>45</v>
      </c>
      <c r="D14">
        <v>2006</v>
      </c>
      <c r="E14" t="s">
        <v>36</v>
      </c>
      <c r="F14">
        <v>98000</v>
      </c>
      <c r="G14" s="7">
        <v>9300</v>
      </c>
      <c r="H14">
        <v>7</v>
      </c>
      <c r="I14" s="7"/>
      <c r="J14" t="s">
        <v>42</v>
      </c>
    </row>
    <row r="15" spans="1:10" x14ac:dyDescent="0.35">
      <c r="A15" t="s">
        <v>43</v>
      </c>
      <c r="B15" t="s">
        <v>61</v>
      </c>
      <c r="C15" t="s">
        <v>62</v>
      </c>
      <c r="D15">
        <v>2009</v>
      </c>
      <c r="E15" t="s">
        <v>63</v>
      </c>
      <c r="F15">
        <v>102000</v>
      </c>
      <c r="G15" s="7">
        <v>9800</v>
      </c>
      <c r="H15">
        <v>8</v>
      </c>
      <c r="I15" s="7"/>
      <c r="J15" t="s">
        <v>42</v>
      </c>
    </row>
    <row r="16" spans="1:10" x14ac:dyDescent="0.35">
      <c r="A16" t="s">
        <v>64</v>
      </c>
      <c r="B16" t="s">
        <v>65</v>
      </c>
      <c r="C16" t="s">
        <v>35</v>
      </c>
      <c r="D16">
        <v>2010</v>
      </c>
      <c r="E16" t="s">
        <v>46</v>
      </c>
      <c r="F16">
        <v>77000</v>
      </c>
      <c r="G16" s="7">
        <v>8500</v>
      </c>
      <c r="H16">
        <v>8</v>
      </c>
      <c r="I16" s="7"/>
      <c r="J16" t="s">
        <v>42</v>
      </c>
    </row>
    <row r="17" spans="1:10" x14ac:dyDescent="0.35">
      <c r="A17" t="s">
        <v>66</v>
      </c>
      <c r="B17" t="s">
        <v>67</v>
      </c>
      <c r="C17" t="s">
        <v>68</v>
      </c>
      <c r="D17">
        <v>2003</v>
      </c>
      <c r="E17" t="s">
        <v>63</v>
      </c>
      <c r="F17">
        <v>185000</v>
      </c>
      <c r="G17" s="7">
        <v>8900</v>
      </c>
      <c r="H17">
        <v>8</v>
      </c>
      <c r="I17" s="7"/>
      <c r="J17" t="s">
        <v>42</v>
      </c>
    </row>
    <row r="18" spans="1:10" x14ac:dyDescent="0.35">
      <c r="A18" t="s">
        <v>69</v>
      </c>
      <c r="B18" t="s">
        <v>70</v>
      </c>
      <c r="C18" t="s">
        <v>68</v>
      </c>
      <c r="D18">
        <v>2005</v>
      </c>
      <c r="E18" t="s">
        <v>53</v>
      </c>
      <c r="F18">
        <v>122000</v>
      </c>
      <c r="G18" s="7">
        <v>8200</v>
      </c>
      <c r="H18">
        <v>1</v>
      </c>
      <c r="I18" s="7"/>
      <c r="J18" t="s">
        <v>42</v>
      </c>
    </row>
    <row r="19" spans="1:10" x14ac:dyDescent="0.35">
      <c r="A19" t="s">
        <v>55</v>
      </c>
      <c r="B19" t="s">
        <v>71</v>
      </c>
      <c r="C19" t="s">
        <v>62</v>
      </c>
      <c r="D19">
        <v>2000</v>
      </c>
      <c r="E19" t="s">
        <v>72</v>
      </c>
      <c r="F19">
        <v>162000</v>
      </c>
      <c r="G19" s="7">
        <v>4100</v>
      </c>
      <c r="H19">
        <v>9</v>
      </c>
      <c r="I19" s="7"/>
      <c r="J19" t="s">
        <v>37</v>
      </c>
    </row>
    <row r="20" spans="1:10" x14ac:dyDescent="0.35">
      <c r="A20" t="s">
        <v>43</v>
      </c>
      <c r="B20" t="s">
        <v>73</v>
      </c>
      <c r="C20" t="s">
        <v>49</v>
      </c>
      <c r="D20">
        <v>2012</v>
      </c>
      <c r="E20" t="s">
        <v>46</v>
      </c>
      <c r="F20">
        <v>59000</v>
      </c>
      <c r="G20" s="7">
        <v>7900</v>
      </c>
      <c r="H20">
        <v>4</v>
      </c>
      <c r="I20" s="7"/>
      <c r="J20" t="s">
        <v>37</v>
      </c>
    </row>
    <row r="21" spans="1:10" x14ac:dyDescent="0.35">
      <c r="A21" t="s">
        <v>64</v>
      </c>
      <c r="B21" t="s">
        <v>74</v>
      </c>
      <c r="C21" t="s">
        <v>35</v>
      </c>
      <c r="D21">
        <v>19985</v>
      </c>
      <c r="E21" t="s">
        <v>50</v>
      </c>
      <c r="F21">
        <v>210000</v>
      </c>
      <c r="G21" s="7">
        <v>3100</v>
      </c>
      <c r="H21">
        <v>10</v>
      </c>
      <c r="I21" s="7"/>
      <c r="J21" t="s">
        <v>37</v>
      </c>
    </row>
    <row r="22" spans="1:10" x14ac:dyDescent="0.35">
      <c r="A22" t="s">
        <v>75</v>
      </c>
      <c r="B22" t="s">
        <v>76</v>
      </c>
      <c r="C22" t="s">
        <v>77</v>
      </c>
      <c r="D22">
        <v>2009</v>
      </c>
      <c r="E22" t="s">
        <v>53</v>
      </c>
      <c r="F22">
        <v>82000</v>
      </c>
      <c r="G22" s="7">
        <v>7500</v>
      </c>
      <c r="H22">
        <v>1</v>
      </c>
      <c r="I22" s="7"/>
      <c r="J22" t="s">
        <v>42</v>
      </c>
    </row>
    <row r="23" spans="1:10" x14ac:dyDescent="0.35">
      <c r="A23" t="s">
        <v>43</v>
      </c>
      <c r="B23" t="s">
        <v>44</v>
      </c>
      <c r="C23" t="s">
        <v>45</v>
      </c>
      <c r="D23">
        <v>1995</v>
      </c>
      <c r="E23" t="s">
        <v>41</v>
      </c>
      <c r="F23">
        <v>135000</v>
      </c>
      <c r="G23" s="7">
        <v>4700</v>
      </c>
      <c r="H23">
        <v>10</v>
      </c>
      <c r="I23" s="7"/>
      <c r="J23" t="s">
        <v>42</v>
      </c>
    </row>
    <row r="24" spans="1:10" x14ac:dyDescent="0.35">
      <c r="A24" t="s">
        <v>43</v>
      </c>
      <c r="B24" t="s">
        <v>54</v>
      </c>
      <c r="C24" t="s">
        <v>35</v>
      </c>
      <c r="D24">
        <v>2000</v>
      </c>
      <c r="E24" t="s">
        <v>53</v>
      </c>
      <c r="F24">
        <v>171000</v>
      </c>
      <c r="G24" s="7">
        <v>7500</v>
      </c>
      <c r="H24">
        <v>6</v>
      </c>
      <c r="I24" s="7"/>
      <c r="J24" t="s">
        <v>42</v>
      </c>
    </row>
    <row r="25" spans="1:10" x14ac:dyDescent="0.35">
      <c r="A25" t="s">
        <v>55</v>
      </c>
      <c r="B25" t="s">
        <v>56</v>
      </c>
      <c r="C25" t="s">
        <v>35</v>
      </c>
      <c r="D25">
        <v>2005</v>
      </c>
      <c r="E25" t="s">
        <v>53</v>
      </c>
      <c r="F25">
        <v>115000</v>
      </c>
      <c r="G25" s="7">
        <v>8000</v>
      </c>
      <c r="H25">
        <v>5</v>
      </c>
      <c r="I25" s="7"/>
      <c r="J25" t="s">
        <v>42</v>
      </c>
    </row>
    <row r="26" spans="1:10" x14ac:dyDescent="0.35">
      <c r="A26" t="s">
        <v>55</v>
      </c>
      <c r="B26" t="s">
        <v>71</v>
      </c>
      <c r="C26" t="s">
        <v>62</v>
      </c>
      <c r="D26">
        <v>2007</v>
      </c>
      <c r="E26" t="s">
        <v>72</v>
      </c>
      <c r="F26">
        <v>112000</v>
      </c>
      <c r="G26" s="7">
        <v>6100</v>
      </c>
      <c r="H26">
        <v>9</v>
      </c>
      <c r="I26" s="7"/>
      <c r="J26" t="s">
        <v>37</v>
      </c>
    </row>
    <row r="27" spans="1:10" x14ac:dyDescent="0.35">
      <c r="A27" t="s">
        <v>38</v>
      </c>
      <c r="B27" t="s">
        <v>39</v>
      </c>
      <c r="C27" t="s">
        <v>40</v>
      </c>
      <c r="D27">
        <v>2000</v>
      </c>
      <c r="E27" t="s">
        <v>46</v>
      </c>
      <c r="F27">
        <v>145000</v>
      </c>
      <c r="G27" s="7">
        <v>3200</v>
      </c>
      <c r="H27">
        <v>6</v>
      </c>
      <c r="I27" s="7"/>
      <c r="J27" t="s">
        <v>37</v>
      </c>
    </row>
    <row r="28" spans="1:10" x14ac:dyDescent="0.35">
      <c r="A28" t="s">
        <v>43</v>
      </c>
      <c r="B28" t="s">
        <v>44</v>
      </c>
      <c r="C28" t="s">
        <v>45</v>
      </c>
      <c r="D28">
        <v>1995</v>
      </c>
      <c r="E28" t="s">
        <v>36</v>
      </c>
      <c r="F28">
        <v>188000</v>
      </c>
      <c r="G28" s="7">
        <v>3700</v>
      </c>
      <c r="H28">
        <v>9</v>
      </c>
      <c r="I28" s="7"/>
      <c r="J28" t="s">
        <v>37</v>
      </c>
    </row>
    <row r="29" spans="1:10" x14ac:dyDescent="0.35">
      <c r="A29" t="s">
        <v>47</v>
      </c>
      <c r="B29" t="s">
        <v>48</v>
      </c>
      <c r="C29" t="s">
        <v>49</v>
      </c>
      <c r="D29">
        <v>2005</v>
      </c>
      <c r="E29" t="s">
        <v>50</v>
      </c>
      <c r="F29">
        <v>137000</v>
      </c>
      <c r="G29" s="7">
        <v>3800</v>
      </c>
      <c r="H29">
        <v>5</v>
      </c>
      <c r="I29" s="7"/>
      <c r="J29" t="s">
        <v>37</v>
      </c>
    </row>
    <row r="30" spans="1:10" x14ac:dyDescent="0.35">
      <c r="A30" t="s">
        <v>55</v>
      </c>
      <c r="B30" t="s">
        <v>57</v>
      </c>
      <c r="C30" t="s">
        <v>45</v>
      </c>
      <c r="D30">
        <v>2004</v>
      </c>
      <c r="E30" t="s">
        <v>36</v>
      </c>
      <c r="F30">
        <v>158000</v>
      </c>
      <c r="G30" s="7">
        <v>7200</v>
      </c>
      <c r="H30">
        <v>9</v>
      </c>
      <c r="I30" s="7"/>
      <c r="J30" t="s">
        <v>37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D1D7-BCFD-4BD8-9691-2B44F671D733}">
  <dimension ref="A1:J30"/>
  <sheetViews>
    <sheetView topLeftCell="A7" zoomScale="115" zoomScaleNormal="115" workbookViewId="0">
      <selection sqref="A1:J2"/>
    </sheetView>
  </sheetViews>
  <sheetFormatPr defaultRowHeight="14.5" x14ac:dyDescent="0.35"/>
  <cols>
    <col min="1" max="1" width="10.453125" customWidth="1"/>
    <col min="2" max="2" width="9.54296875" customWidth="1"/>
    <col min="3" max="3" width="10.36328125" customWidth="1"/>
    <col min="4" max="4" width="6.36328125" customWidth="1"/>
    <col min="5" max="5" width="6.90625" customWidth="1"/>
    <col min="6" max="6" width="12.36328125" customWidth="1"/>
    <col min="7" max="7" width="12" customWidth="1"/>
    <col min="8" max="8" width="16.1796875" customWidth="1"/>
    <col min="9" max="9" width="14.54296875" customWidth="1"/>
    <col min="10" max="10" width="10.81640625" customWidth="1"/>
  </cols>
  <sheetData>
    <row r="1" spans="1:10" x14ac:dyDescent="0.35">
      <c r="A1" s="18" t="s">
        <v>78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5">
      <c r="A2" s="17">
        <v>45008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11</v>
      </c>
      <c r="J4" t="s">
        <v>32</v>
      </c>
    </row>
    <row r="5" spans="1:10" x14ac:dyDescent="0.35">
      <c r="A5" t="s">
        <v>33</v>
      </c>
      <c r="B5" t="s">
        <v>34</v>
      </c>
      <c r="C5" t="s">
        <v>35</v>
      </c>
      <c r="D5">
        <v>1995</v>
      </c>
      <c r="E5" t="s">
        <v>36</v>
      </c>
      <c r="F5">
        <v>19800</v>
      </c>
      <c r="G5" s="7">
        <v>4000</v>
      </c>
      <c r="H5">
        <v>9</v>
      </c>
      <c r="I5" s="7">
        <f>G5*H5</f>
        <v>36000</v>
      </c>
      <c r="J5" t="s">
        <v>37</v>
      </c>
    </row>
    <row r="6" spans="1:10" x14ac:dyDescent="0.35">
      <c r="A6" t="s">
        <v>38</v>
      </c>
      <c r="B6" t="s">
        <v>39</v>
      </c>
      <c r="C6" t="s">
        <v>40</v>
      </c>
      <c r="D6">
        <v>2000</v>
      </c>
      <c r="E6" t="s">
        <v>41</v>
      </c>
      <c r="F6">
        <v>150000</v>
      </c>
      <c r="G6" s="7">
        <v>3000</v>
      </c>
      <c r="H6">
        <v>4</v>
      </c>
      <c r="I6" s="7"/>
      <c r="J6" t="s">
        <v>42</v>
      </c>
    </row>
    <row r="7" spans="1:10" x14ac:dyDescent="0.35">
      <c r="A7" t="s">
        <v>43</v>
      </c>
      <c r="B7" t="s">
        <v>44</v>
      </c>
      <c r="C7" t="s">
        <v>45</v>
      </c>
      <c r="D7">
        <v>1986</v>
      </c>
      <c r="E7" t="s">
        <v>46</v>
      </c>
      <c r="F7">
        <v>208000</v>
      </c>
      <c r="G7" s="7">
        <v>3200</v>
      </c>
      <c r="H7">
        <v>3</v>
      </c>
      <c r="I7" s="7"/>
      <c r="J7" t="s">
        <v>37</v>
      </c>
    </row>
    <row r="8" spans="1:10" x14ac:dyDescent="0.35">
      <c r="A8" t="s">
        <v>47</v>
      </c>
      <c r="B8" t="s">
        <v>48</v>
      </c>
      <c r="C8" t="s">
        <v>49</v>
      </c>
      <c r="D8">
        <v>2002</v>
      </c>
      <c r="E8" t="s">
        <v>50</v>
      </c>
      <c r="F8">
        <v>148000</v>
      </c>
      <c r="G8" s="7">
        <v>3000</v>
      </c>
      <c r="H8">
        <v>6</v>
      </c>
      <c r="I8" s="7"/>
      <c r="J8" t="s">
        <v>37</v>
      </c>
    </row>
    <row r="9" spans="1:10" x14ac:dyDescent="0.35">
      <c r="A9" t="s">
        <v>51</v>
      </c>
      <c r="B9" t="s">
        <v>52</v>
      </c>
      <c r="C9" t="s">
        <v>40</v>
      </c>
      <c r="D9">
        <v>2002</v>
      </c>
      <c r="E9" t="s">
        <v>36</v>
      </c>
      <c r="F9">
        <v>141000</v>
      </c>
      <c r="G9" s="7">
        <v>4100</v>
      </c>
      <c r="H9">
        <v>9</v>
      </c>
      <c r="I9" s="7"/>
      <c r="J9" t="s">
        <v>37</v>
      </c>
    </row>
    <row r="10" spans="1:10" x14ac:dyDescent="0.35">
      <c r="A10" t="s">
        <v>43</v>
      </c>
      <c r="B10" t="s">
        <v>44</v>
      </c>
      <c r="C10" t="s">
        <v>45</v>
      </c>
      <c r="D10">
        <v>1995</v>
      </c>
      <c r="E10" t="s">
        <v>53</v>
      </c>
      <c r="F10">
        <v>135000</v>
      </c>
      <c r="G10" s="7">
        <v>4700</v>
      </c>
      <c r="H10">
        <v>4</v>
      </c>
      <c r="I10" s="7"/>
      <c r="J10" t="s">
        <v>37</v>
      </c>
    </row>
    <row r="11" spans="1:10" x14ac:dyDescent="0.35">
      <c r="A11" t="s">
        <v>43</v>
      </c>
      <c r="B11" t="s">
        <v>54</v>
      </c>
      <c r="C11" t="s">
        <v>35</v>
      </c>
      <c r="D11">
        <v>1999</v>
      </c>
      <c r="E11" t="s">
        <v>41</v>
      </c>
      <c r="F11">
        <v>188000</v>
      </c>
      <c r="G11" s="7">
        <v>5500</v>
      </c>
      <c r="H11">
        <v>2</v>
      </c>
      <c r="I11" s="7"/>
      <c r="J11" t="s">
        <v>37</v>
      </c>
    </row>
    <row r="12" spans="1:10" x14ac:dyDescent="0.35">
      <c r="A12" t="s">
        <v>55</v>
      </c>
      <c r="B12" t="s">
        <v>56</v>
      </c>
      <c r="C12" t="s">
        <v>35</v>
      </c>
      <c r="D12">
        <v>2004</v>
      </c>
      <c r="E12" t="s">
        <v>36</v>
      </c>
      <c r="F12">
        <v>122000</v>
      </c>
      <c r="G12" s="7">
        <v>7000</v>
      </c>
      <c r="H12">
        <v>10</v>
      </c>
      <c r="I12" s="7"/>
      <c r="J12" t="s">
        <v>37</v>
      </c>
    </row>
    <row r="13" spans="1:10" x14ac:dyDescent="0.35">
      <c r="A13" t="s">
        <v>55</v>
      </c>
      <c r="B13" t="s">
        <v>57</v>
      </c>
      <c r="C13" t="s">
        <v>45</v>
      </c>
      <c r="D13">
        <v>2001</v>
      </c>
      <c r="E13" t="s">
        <v>58</v>
      </c>
      <c r="F13">
        <v>178000</v>
      </c>
      <c r="G13" s="7">
        <v>5200</v>
      </c>
      <c r="H13">
        <v>5</v>
      </c>
      <c r="I13" s="7"/>
      <c r="J13" t="s">
        <v>37</v>
      </c>
    </row>
    <row r="14" spans="1:10" x14ac:dyDescent="0.35">
      <c r="A14" t="s">
        <v>59</v>
      </c>
      <c r="B14" t="s">
        <v>60</v>
      </c>
      <c r="C14" t="s">
        <v>45</v>
      </c>
      <c r="D14">
        <v>2006</v>
      </c>
      <c r="E14" t="s">
        <v>36</v>
      </c>
      <c r="F14">
        <v>98000</v>
      </c>
      <c r="G14" s="7">
        <v>9300</v>
      </c>
      <c r="H14">
        <v>7</v>
      </c>
      <c r="I14" s="7"/>
      <c r="J14" t="s">
        <v>42</v>
      </c>
    </row>
    <row r="15" spans="1:10" x14ac:dyDescent="0.35">
      <c r="A15" t="s">
        <v>43</v>
      </c>
      <c r="B15" t="s">
        <v>61</v>
      </c>
      <c r="C15" t="s">
        <v>62</v>
      </c>
      <c r="D15">
        <v>2009</v>
      </c>
      <c r="E15" t="s">
        <v>63</v>
      </c>
      <c r="F15">
        <v>102000</v>
      </c>
      <c r="G15" s="7">
        <v>9800</v>
      </c>
      <c r="H15">
        <v>8</v>
      </c>
      <c r="I15" s="7"/>
      <c r="J15" t="s">
        <v>42</v>
      </c>
    </row>
    <row r="16" spans="1:10" x14ac:dyDescent="0.35">
      <c r="A16" t="s">
        <v>64</v>
      </c>
      <c r="B16" t="s">
        <v>65</v>
      </c>
      <c r="C16" t="s">
        <v>35</v>
      </c>
      <c r="D16">
        <v>2010</v>
      </c>
      <c r="E16" t="s">
        <v>46</v>
      </c>
      <c r="F16">
        <v>77000</v>
      </c>
      <c r="G16" s="7">
        <v>8500</v>
      </c>
      <c r="H16">
        <v>8</v>
      </c>
      <c r="I16" s="7"/>
      <c r="J16" t="s">
        <v>42</v>
      </c>
    </row>
    <row r="17" spans="1:10" x14ac:dyDescent="0.35">
      <c r="A17" t="s">
        <v>66</v>
      </c>
      <c r="B17" t="s">
        <v>67</v>
      </c>
      <c r="C17" t="s">
        <v>68</v>
      </c>
      <c r="D17">
        <v>2003</v>
      </c>
      <c r="E17" t="s">
        <v>63</v>
      </c>
      <c r="F17">
        <v>185000</v>
      </c>
      <c r="G17" s="7">
        <v>8900</v>
      </c>
      <c r="H17">
        <v>8</v>
      </c>
      <c r="I17" s="7"/>
      <c r="J17" t="s">
        <v>42</v>
      </c>
    </row>
    <row r="18" spans="1:10" x14ac:dyDescent="0.35">
      <c r="A18" t="s">
        <v>69</v>
      </c>
      <c r="B18" t="s">
        <v>70</v>
      </c>
      <c r="C18" t="s">
        <v>68</v>
      </c>
      <c r="D18">
        <v>2005</v>
      </c>
      <c r="E18" t="s">
        <v>53</v>
      </c>
      <c r="F18">
        <v>122000</v>
      </c>
      <c r="G18" s="7">
        <v>8200</v>
      </c>
      <c r="H18">
        <v>1</v>
      </c>
      <c r="I18" s="7"/>
      <c r="J18" t="s">
        <v>42</v>
      </c>
    </row>
    <row r="19" spans="1:10" x14ac:dyDescent="0.35">
      <c r="A19" t="s">
        <v>55</v>
      </c>
      <c r="B19" t="s">
        <v>71</v>
      </c>
      <c r="C19" t="s">
        <v>62</v>
      </c>
      <c r="D19">
        <v>2000</v>
      </c>
      <c r="E19" t="s">
        <v>72</v>
      </c>
      <c r="F19">
        <v>162000</v>
      </c>
      <c r="G19" s="7">
        <v>4100</v>
      </c>
      <c r="H19">
        <v>9</v>
      </c>
      <c r="I19" s="7"/>
      <c r="J19" t="s">
        <v>37</v>
      </c>
    </row>
    <row r="20" spans="1:10" x14ac:dyDescent="0.35">
      <c r="A20" t="s">
        <v>43</v>
      </c>
      <c r="B20" t="s">
        <v>73</v>
      </c>
      <c r="C20" t="s">
        <v>49</v>
      </c>
      <c r="D20">
        <v>2012</v>
      </c>
      <c r="E20" t="s">
        <v>46</v>
      </c>
      <c r="F20">
        <v>59000</v>
      </c>
      <c r="G20" s="7">
        <v>7900</v>
      </c>
      <c r="H20">
        <v>4</v>
      </c>
      <c r="I20" s="7"/>
      <c r="J20" t="s">
        <v>37</v>
      </c>
    </row>
    <row r="21" spans="1:10" x14ac:dyDescent="0.35">
      <c r="A21" t="s">
        <v>64</v>
      </c>
      <c r="B21" t="s">
        <v>74</v>
      </c>
      <c r="C21" t="s">
        <v>35</v>
      </c>
      <c r="D21">
        <v>19985</v>
      </c>
      <c r="E21" t="s">
        <v>50</v>
      </c>
      <c r="F21">
        <v>210000</v>
      </c>
      <c r="G21" s="7">
        <v>3100</v>
      </c>
      <c r="H21">
        <v>10</v>
      </c>
      <c r="I21" s="7"/>
      <c r="J21" t="s">
        <v>37</v>
      </c>
    </row>
    <row r="22" spans="1:10" x14ac:dyDescent="0.35">
      <c r="A22" t="s">
        <v>75</v>
      </c>
      <c r="B22" t="s">
        <v>76</v>
      </c>
      <c r="C22" t="s">
        <v>77</v>
      </c>
      <c r="D22">
        <v>2009</v>
      </c>
      <c r="E22" t="s">
        <v>53</v>
      </c>
      <c r="F22">
        <v>82000</v>
      </c>
      <c r="G22" s="7">
        <v>7500</v>
      </c>
      <c r="H22">
        <v>1</v>
      </c>
      <c r="I22" s="7"/>
      <c r="J22" t="s">
        <v>42</v>
      </c>
    </row>
    <row r="23" spans="1:10" x14ac:dyDescent="0.35">
      <c r="A23" t="s">
        <v>43</v>
      </c>
      <c r="B23" t="s">
        <v>44</v>
      </c>
      <c r="C23" t="s">
        <v>45</v>
      </c>
      <c r="D23">
        <v>1995</v>
      </c>
      <c r="E23" t="s">
        <v>41</v>
      </c>
      <c r="F23">
        <v>135000</v>
      </c>
      <c r="G23" s="7">
        <v>4700</v>
      </c>
      <c r="H23">
        <v>10</v>
      </c>
      <c r="I23" s="7"/>
      <c r="J23" t="s">
        <v>42</v>
      </c>
    </row>
    <row r="24" spans="1:10" x14ac:dyDescent="0.35">
      <c r="A24" t="s">
        <v>43</v>
      </c>
      <c r="B24" t="s">
        <v>54</v>
      </c>
      <c r="C24" t="s">
        <v>35</v>
      </c>
      <c r="D24">
        <v>2000</v>
      </c>
      <c r="E24" t="s">
        <v>53</v>
      </c>
      <c r="F24">
        <v>171000</v>
      </c>
      <c r="G24" s="7">
        <v>7500</v>
      </c>
      <c r="H24">
        <v>6</v>
      </c>
      <c r="I24" s="7"/>
      <c r="J24" t="s">
        <v>42</v>
      </c>
    </row>
    <row r="25" spans="1:10" x14ac:dyDescent="0.35">
      <c r="A25" t="s">
        <v>55</v>
      </c>
      <c r="B25" t="s">
        <v>56</v>
      </c>
      <c r="C25" t="s">
        <v>35</v>
      </c>
      <c r="D25">
        <v>2005</v>
      </c>
      <c r="E25" t="s">
        <v>53</v>
      </c>
      <c r="F25">
        <v>115000</v>
      </c>
      <c r="G25" s="7">
        <v>8000</v>
      </c>
      <c r="H25">
        <v>5</v>
      </c>
      <c r="I25" s="7"/>
      <c r="J25" t="s">
        <v>42</v>
      </c>
    </row>
    <row r="26" spans="1:10" x14ac:dyDescent="0.35">
      <c r="A26" t="s">
        <v>55</v>
      </c>
      <c r="B26" t="s">
        <v>71</v>
      </c>
      <c r="C26" t="s">
        <v>62</v>
      </c>
      <c r="D26">
        <v>2007</v>
      </c>
      <c r="E26" t="s">
        <v>72</v>
      </c>
      <c r="F26">
        <v>112000</v>
      </c>
      <c r="G26" s="7">
        <v>6100</v>
      </c>
      <c r="H26">
        <v>9</v>
      </c>
      <c r="I26" s="7"/>
      <c r="J26" t="s">
        <v>37</v>
      </c>
    </row>
    <row r="27" spans="1:10" x14ac:dyDescent="0.35">
      <c r="A27" t="s">
        <v>38</v>
      </c>
      <c r="B27" t="s">
        <v>39</v>
      </c>
      <c r="C27" t="s">
        <v>40</v>
      </c>
      <c r="D27">
        <v>2000</v>
      </c>
      <c r="E27" t="s">
        <v>46</v>
      </c>
      <c r="F27">
        <v>145000</v>
      </c>
      <c r="G27" s="7">
        <v>3200</v>
      </c>
      <c r="H27">
        <v>6</v>
      </c>
      <c r="I27" s="7"/>
      <c r="J27" t="s">
        <v>37</v>
      </c>
    </row>
    <row r="28" spans="1:10" x14ac:dyDescent="0.35">
      <c r="A28" t="s">
        <v>43</v>
      </c>
      <c r="B28" t="s">
        <v>44</v>
      </c>
      <c r="C28" t="s">
        <v>45</v>
      </c>
      <c r="D28">
        <v>1995</v>
      </c>
      <c r="E28" t="s">
        <v>36</v>
      </c>
      <c r="F28">
        <v>188000</v>
      </c>
      <c r="G28" s="7">
        <v>3700</v>
      </c>
      <c r="H28">
        <v>9</v>
      </c>
      <c r="I28" s="7"/>
      <c r="J28" t="s">
        <v>37</v>
      </c>
    </row>
    <row r="29" spans="1:10" x14ac:dyDescent="0.35">
      <c r="A29" t="s">
        <v>47</v>
      </c>
      <c r="B29" t="s">
        <v>48</v>
      </c>
      <c r="C29" t="s">
        <v>49</v>
      </c>
      <c r="D29">
        <v>2005</v>
      </c>
      <c r="E29" t="s">
        <v>50</v>
      </c>
      <c r="F29">
        <v>137000</v>
      </c>
      <c r="G29" s="7">
        <v>3800</v>
      </c>
      <c r="H29">
        <v>5</v>
      </c>
      <c r="I29" s="7"/>
      <c r="J29" t="s">
        <v>37</v>
      </c>
    </row>
    <row r="30" spans="1:10" x14ac:dyDescent="0.35">
      <c r="A30" t="s">
        <v>55</v>
      </c>
      <c r="B30" t="s">
        <v>57</v>
      </c>
      <c r="C30" t="s">
        <v>45</v>
      </c>
      <c r="D30">
        <v>2004</v>
      </c>
      <c r="E30" t="s">
        <v>36</v>
      </c>
      <c r="F30">
        <v>158000</v>
      </c>
      <c r="G30" s="7">
        <v>7200</v>
      </c>
      <c r="H30">
        <v>9</v>
      </c>
      <c r="I30" s="7"/>
      <c r="J30" t="s">
        <v>37</v>
      </c>
    </row>
  </sheetData>
  <mergeCells count="2">
    <mergeCell ref="A2:J2"/>
    <mergeCell ref="A1:J1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29D4-2F2A-4776-AA5E-14EBE046DF93}">
  <dimension ref="A1:E16"/>
  <sheetViews>
    <sheetView workbookViewId="0">
      <selection activeCell="I23" sqref="I23"/>
    </sheetView>
  </sheetViews>
  <sheetFormatPr defaultRowHeight="14.5" x14ac:dyDescent="0.35"/>
  <cols>
    <col min="1" max="1" width="14.1796875" bestFit="1" customWidth="1"/>
    <col min="2" max="2" width="14.36328125" customWidth="1"/>
    <col min="3" max="6" width="18.1796875" customWidth="1"/>
  </cols>
  <sheetData>
    <row r="1" spans="1:5" ht="17" x14ac:dyDescent="0.4">
      <c r="A1" s="21" t="s">
        <v>93</v>
      </c>
      <c r="B1" s="21"/>
      <c r="C1" s="21"/>
      <c r="D1" s="21"/>
      <c r="E1" s="21"/>
    </row>
    <row r="2" spans="1:5" x14ac:dyDescent="0.35">
      <c r="A2" t="s">
        <v>12</v>
      </c>
      <c r="B2" t="s">
        <v>97</v>
      </c>
      <c r="C2" t="s">
        <v>98</v>
      </c>
      <c r="D2" t="s">
        <v>99</v>
      </c>
      <c r="E2" t="s">
        <v>100</v>
      </c>
    </row>
    <row r="3" spans="1:5" x14ac:dyDescent="0.35">
      <c r="A3" t="s">
        <v>15</v>
      </c>
      <c r="B3" s="7">
        <v>704000</v>
      </c>
      <c r="C3" s="7">
        <v>366000</v>
      </c>
      <c r="D3" s="7">
        <v>1027000</v>
      </c>
      <c r="E3" s="7">
        <v>752000</v>
      </c>
    </row>
    <row r="4" spans="1:5" x14ac:dyDescent="0.35">
      <c r="A4" t="s">
        <v>13</v>
      </c>
      <c r="B4" s="7">
        <v>992000</v>
      </c>
      <c r="C4" s="7">
        <v>299000</v>
      </c>
      <c r="D4" s="7">
        <v>427000</v>
      </c>
      <c r="E4" s="7">
        <v>334000</v>
      </c>
    </row>
    <row r="5" spans="1:5" x14ac:dyDescent="0.35">
      <c r="A5" t="s">
        <v>96</v>
      </c>
      <c r="B5" s="7">
        <v>259000</v>
      </c>
      <c r="C5" s="7">
        <v>500000</v>
      </c>
      <c r="D5" s="7">
        <v>796000</v>
      </c>
      <c r="E5" s="7">
        <v>1046000</v>
      </c>
    </row>
    <row r="6" spans="1:5" x14ac:dyDescent="0.35">
      <c r="A6" t="s">
        <v>11</v>
      </c>
      <c r="B6" s="7">
        <f>SUBTOTAL(109,Table4[Qtr1])</f>
        <v>1955000</v>
      </c>
      <c r="C6" s="7">
        <f>SUBTOTAL(109,Table4[Qtr2])</f>
        <v>1165000</v>
      </c>
      <c r="D6" s="7">
        <f>SUBTOTAL(109,Table4[Qtr3])</f>
        <v>2250000</v>
      </c>
      <c r="E6" s="7">
        <f>SUBTOTAL(109,Table4[Qtr4])</f>
        <v>2132000</v>
      </c>
    </row>
    <row r="11" spans="1:5" x14ac:dyDescent="0.35">
      <c r="A11" t="s">
        <v>94</v>
      </c>
    </row>
    <row r="12" spans="1:5" x14ac:dyDescent="0.35">
      <c r="A12" t="s">
        <v>95</v>
      </c>
      <c r="B12" t="s">
        <v>97</v>
      </c>
      <c r="C12" t="s">
        <v>98</v>
      </c>
      <c r="D12" t="s">
        <v>99</v>
      </c>
      <c r="E12" t="s">
        <v>100</v>
      </c>
    </row>
    <row r="13" spans="1:5" x14ac:dyDescent="0.35">
      <c r="A13" t="s">
        <v>16</v>
      </c>
      <c r="B13" s="7">
        <v>259000</v>
      </c>
      <c r="C13" s="7">
        <v>500000</v>
      </c>
      <c r="D13" s="7">
        <v>796000</v>
      </c>
      <c r="E13" s="7">
        <v>1046000</v>
      </c>
    </row>
    <row r="14" spans="1:5" x14ac:dyDescent="0.35">
      <c r="A14" t="s">
        <v>14</v>
      </c>
      <c r="B14" s="7">
        <v>497000</v>
      </c>
      <c r="C14" s="7">
        <v>1032000</v>
      </c>
      <c r="D14" s="7">
        <v>961000</v>
      </c>
      <c r="E14" s="7">
        <v>981000</v>
      </c>
    </row>
    <row r="15" spans="1:5" x14ac:dyDescent="0.35">
      <c r="A15" t="s">
        <v>92</v>
      </c>
      <c r="B15" s="7">
        <v>671000</v>
      </c>
      <c r="C15" s="7">
        <v>586000</v>
      </c>
      <c r="D15" s="7">
        <v>448000</v>
      </c>
      <c r="E15" s="7">
        <v>637000</v>
      </c>
    </row>
    <row r="16" spans="1:5" x14ac:dyDescent="0.35">
      <c r="A16" t="s">
        <v>11</v>
      </c>
      <c r="B16" s="7">
        <f>SUBTOTAL(109,Table46[Qtr1])</f>
        <v>1427000</v>
      </c>
      <c r="C16" s="7">
        <f>SUBTOTAL(109,Table46[Qtr2])</f>
        <v>2118000</v>
      </c>
      <c r="D16" s="7">
        <f>SUBTOTAL(109,Table46[Qtr3])</f>
        <v>2205000</v>
      </c>
      <c r="E16" s="7">
        <f>SUBTOTAL(109,Table46[Qtr4])</f>
        <v>2664000</v>
      </c>
    </row>
  </sheetData>
  <mergeCells count="1">
    <mergeCell ref="A1:E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870B-DC6D-4E06-B1B3-396D07CE38FF}">
  <dimension ref="A1:H20"/>
  <sheetViews>
    <sheetView tabSelected="1" workbookViewId="0">
      <selection activeCell="L8" sqref="L8"/>
    </sheetView>
  </sheetViews>
  <sheetFormatPr defaultRowHeight="14.5" x14ac:dyDescent="0.35"/>
  <cols>
    <col min="1" max="1" width="11.08984375" customWidth="1"/>
    <col min="2" max="2" width="18.54296875" customWidth="1"/>
    <col min="3" max="3" width="11.08984375" customWidth="1"/>
    <col min="4" max="4" width="11.1796875" customWidth="1"/>
    <col min="5" max="5" width="20.54296875" customWidth="1"/>
    <col min="6" max="6" width="10.1796875" customWidth="1"/>
    <col min="7" max="8" width="11.54296875" bestFit="1" customWidth="1"/>
  </cols>
  <sheetData>
    <row r="1" spans="1:8" x14ac:dyDescent="0.35">
      <c r="A1" s="22"/>
      <c r="B1" s="22"/>
      <c r="C1" s="22"/>
      <c r="D1" s="22"/>
      <c r="E1" s="22"/>
      <c r="F1" s="22"/>
      <c r="G1" s="22"/>
      <c r="H1" s="22"/>
    </row>
    <row r="2" spans="1:8" x14ac:dyDescent="0.35">
      <c r="A2" s="22"/>
      <c r="B2" s="22"/>
      <c r="C2" s="22"/>
      <c r="D2" s="22"/>
      <c r="E2" s="22"/>
      <c r="F2" s="22"/>
      <c r="G2" s="22"/>
      <c r="H2" s="22"/>
    </row>
    <row r="3" spans="1:8" x14ac:dyDescent="0.35">
      <c r="A3" s="22"/>
      <c r="B3" s="22"/>
      <c r="C3" s="22"/>
      <c r="D3" s="22"/>
      <c r="E3" s="22"/>
      <c r="F3" s="22"/>
      <c r="G3" s="22"/>
      <c r="H3" s="22"/>
    </row>
    <row r="4" spans="1:8" x14ac:dyDescent="0.35">
      <c r="A4" s="22"/>
      <c r="B4" s="22"/>
      <c r="C4" s="22"/>
      <c r="D4" s="22"/>
      <c r="E4" s="22"/>
      <c r="F4" s="22"/>
      <c r="G4" s="22"/>
      <c r="H4" s="22"/>
    </row>
    <row r="5" spans="1:8" x14ac:dyDescent="0.35">
      <c r="A5" s="22"/>
      <c r="B5" s="22"/>
      <c r="C5" s="22"/>
      <c r="D5" s="22"/>
      <c r="E5" s="22"/>
      <c r="F5" s="22"/>
      <c r="G5" s="22"/>
      <c r="H5" s="22"/>
    </row>
    <row r="6" spans="1:8" x14ac:dyDescent="0.35">
      <c r="A6" s="22"/>
      <c r="B6" s="22"/>
      <c r="C6" s="22"/>
      <c r="D6" s="22"/>
      <c r="E6" s="22"/>
      <c r="F6" s="22"/>
      <c r="G6" s="22"/>
      <c r="H6" s="22"/>
    </row>
    <row r="7" spans="1:8" x14ac:dyDescent="0.35">
      <c r="A7" s="22" t="s">
        <v>79</v>
      </c>
      <c r="B7" s="22"/>
      <c r="C7" s="22"/>
      <c r="D7" s="22"/>
      <c r="E7" s="22"/>
      <c r="F7" s="22"/>
      <c r="G7" s="22"/>
      <c r="H7" s="22"/>
    </row>
    <row r="8" spans="1:8" x14ac:dyDescent="0.35">
      <c r="A8" s="6"/>
      <c r="B8" s="6"/>
      <c r="C8" s="6"/>
      <c r="D8" s="6"/>
      <c r="E8" s="6"/>
      <c r="F8" s="6"/>
      <c r="G8" s="8"/>
      <c r="H8" s="8"/>
    </row>
    <row r="9" spans="1:8" x14ac:dyDescent="0.35">
      <c r="A9" s="9" t="s">
        <v>80</v>
      </c>
      <c r="B9" s="9" t="s">
        <v>81</v>
      </c>
      <c r="C9" s="9" t="s">
        <v>82</v>
      </c>
      <c r="D9" s="9" t="s">
        <v>83</v>
      </c>
      <c r="E9" s="9" t="s">
        <v>84</v>
      </c>
      <c r="F9" s="9" t="s">
        <v>85</v>
      </c>
      <c r="G9" s="10" t="s">
        <v>11</v>
      </c>
      <c r="H9" s="11"/>
    </row>
    <row r="10" spans="1:8" x14ac:dyDescent="0.35">
      <c r="A10" s="12" t="s">
        <v>0</v>
      </c>
      <c r="B10" s="12"/>
      <c r="C10" s="13" t="s">
        <v>86</v>
      </c>
      <c r="D10" s="13" t="s">
        <v>87</v>
      </c>
      <c r="E10" s="12"/>
      <c r="F10" s="12">
        <v>9702</v>
      </c>
      <c r="G10" s="14">
        <v>937494</v>
      </c>
      <c r="H10" s="14"/>
    </row>
    <row r="11" spans="1:8" x14ac:dyDescent="0.35">
      <c r="A11" s="12" t="s">
        <v>1</v>
      </c>
      <c r="B11" s="12"/>
      <c r="C11" s="13" t="s">
        <v>88</v>
      </c>
      <c r="D11" s="13" t="s">
        <v>89</v>
      </c>
      <c r="E11" s="12"/>
      <c r="F11" s="12">
        <v>1585</v>
      </c>
      <c r="G11" s="14">
        <v>53324</v>
      </c>
      <c r="H11" s="14"/>
    </row>
    <row r="12" spans="1:8" x14ac:dyDescent="0.35">
      <c r="A12" s="12" t="s">
        <v>2</v>
      </c>
      <c r="B12" s="12"/>
      <c r="C12" s="13" t="s">
        <v>88</v>
      </c>
      <c r="D12" s="13" t="s">
        <v>89</v>
      </c>
      <c r="E12" s="12"/>
      <c r="F12" s="12">
        <v>2910</v>
      </c>
      <c r="G12" s="14">
        <v>97137</v>
      </c>
      <c r="H12" s="14"/>
    </row>
    <row r="13" spans="1:8" x14ac:dyDescent="0.35">
      <c r="A13" s="12" t="s">
        <v>3</v>
      </c>
      <c r="B13" s="12"/>
      <c r="C13" s="13" t="s">
        <v>90</v>
      </c>
      <c r="D13" s="13" t="s">
        <v>91</v>
      </c>
      <c r="E13" s="12"/>
      <c r="F13" s="12">
        <v>4117</v>
      </c>
      <c r="G13" s="14">
        <v>233025</v>
      </c>
      <c r="H13" s="14"/>
    </row>
    <row r="14" spans="1:8" x14ac:dyDescent="0.35">
      <c r="A14" s="12" t="s">
        <v>4</v>
      </c>
      <c r="B14" s="12"/>
      <c r="C14" s="13" t="s">
        <v>88</v>
      </c>
      <c r="D14" s="13" t="s">
        <v>89</v>
      </c>
      <c r="E14" s="12"/>
      <c r="F14" s="12">
        <v>3363</v>
      </c>
      <c r="G14" s="14">
        <v>115497</v>
      </c>
      <c r="H14" s="14"/>
    </row>
    <row r="15" spans="1:8" x14ac:dyDescent="0.35">
      <c r="A15" s="12" t="s">
        <v>5</v>
      </c>
      <c r="B15" s="12"/>
      <c r="C15" s="13" t="s">
        <v>88</v>
      </c>
      <c r="D15" s="13" t="s">
        <v>89</v>
      </c>
      <c r="E15" s="12"/>
      <c r="F15" s="12">
        <v>1971</v>
      </c>
      <c r="G15" s="14">
        <v>325345</v>
      </c>
      <c r="H15" s="14"/>
    </row>
    <row r="16" spans="1:8" x14ac:dyDescent="0.35">
      <c r="A16" s="12" t="s">
        <v>6</v>
      </c>
      <c r="B16" s="12"/>
      <c r="C16" s="13" t="s">
        <v>88</v>
      </c>
      <c r="D16" s="13" t="s">
        <v>89</v>
      </c>
      <c r="E16" s="12"/>
      <c r="F16" s="12">
        <v>4837</v>
      </c>
      <c r="G16" s="14">
        <v>717207</v>
      </c>
      <c r="H16" s="14"/>
    </row>
    <row r="17" spans="1:8" x14ac:dyDescent="0.35">
      <c r="A17" s="12" t="s">
        <v>7</v>
      </c>
      <c r="B17" s="12"/>
      <c r="C17" s="13" t="s">
        <v>90</v>
      </c>
      <c r="D17" s="13" t="s">
        <v>91</v>
      </c>
      <c r="E17" s="12"/>
      <c r="F17" s="12">
        <v>4056</v>
      </c>
      <c r="G17" s="14">
        <v>368878</v>
      </c>
      <c r="H17" s="14"/>
    </row>
    <row r="18" spans="1:8" x14ac:dyDescent="0.35">
      <c r="A18" s="12" t="s">
        <v>8</v>
      </c>
      <c r="B18" s="12"/>
      <c r="C18" s="13" t="s">
        <v>88</v>
      </c>
      <c r="D18" s="13" t="s">
        <v>89</v>
      </c>
      <c r="E18" s="12"/>
      <c r="F18" s="12">
        <v>3510</v>
      </c>
      <c r="G18" s="14">
        <v>719550</v>
      </c>
      <c r="H18" s="14"/>
    </row>
    <row r="19" spans="1:8" x14ac:dyDescent="0.35">
      <c r="A19" s="12" t="s">
        <v>9</v>
      </c>
      <c r="B19" s="12"/>
      <c r="C19" s="13" t="s">
        <v>88</v>
      </c>
      <c r="D19" s="13" t="s">
        <v>89</v>
      </c>
      <c r="E19" s="12"/>
      <c r="F19" s="12">
        <v>1878</v>
      </c>
      <c r="G19" s="14">
        <v>62985</v>
      </c>
      <c r="H19" s="14"/>
    </row>
    <row r="20" spans="1:8" x14ac:dyDescent="0.35">
      <c r="A20" s="12" t="s">
        <v>10</v>
      </c>
      <c r="B20" s="12"/>
      <c r="C20" s="13" t="s">
        <v>90</v>
      </c>
      <c r="D20" s="13" t="s">
        <v>91</v>
      </c>
      <c r="E20" s="12"/>
      <c r="F20" s="12">
        <v>1931</v>
      </c>
      <c r="G20" s="14">
        <v>67585</v>
      </c>
      <c r="H20" s="14"/>
    </row>
  </sheetData>
  <mergeCells count="2">
    <mergeCell ref="A1:H6"/>
    <mergeCell ref="A7:H7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Demographics</vt:lpstr>
      <vt:lpstr>Used Car Sales</vt:lpstr>
      <vt:lpstr>New Car Sales</vt:lpstr>
      <vt:lpstr>Exams</vt:lpstr>
      <vt:lpstr>Report</vt:lpstr>
      <vt:lpstr>Informatics Exam</vt:lpstr>
      <vt:lpstr>'New Car Sales'!Convertible</vt:lpstr>
      <vt:lpstr>'Used Car Sales'!Convertible</vt:lpstr>
      <vt:lpstr>Demographics!SUPPLIER_NAME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dcterms:created xsi:type="dcterms:W3CDTF">2015-03-31T03:19:22Z</dcterms:created>
  <dcterms:modified xsi:type="dcterms:W3CDTF">2026-04-12T14:26:19Z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2026-04-12T14:25:44Z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c85fcba3-3e70-4116-b18b-997b39ac45ad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